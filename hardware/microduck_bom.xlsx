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bookViews>
    <workbookView windowWidth="2304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<sst xmlns="http://schemas.openxmlformats.org/spreadsheetml/2006/main" count="104" uniqueCount="82">
  <si>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组件</t>
  </si>
  <si>
    <t>型号</t>
  </si>
  <si>
    <t>数量</t>
  </si>
  <si>
    <t>单价</t>
  </si>
  <si>
    <t>总价</t>
  </si>
  <si>
    <t>备注</t>
  </si>
  <si>
    <t>购买情况</t>
  </si>
  <si>
    <t>购买链接</t>
  </si>
  <si>
    <t>舵机</t>
  </si>
  <si>
    <t>飞特 HD-1910-C001</t>
  </si>
  <si>
    <t>国产电机平替，原版是Dynamixel xl330</t>
  </si>
  <si>
    <t>已购</t>
  </si>
  <si>
    <t>https://e.tb.cn/h.8yy7pUdeOPyixCr?tk=KnCZTpnqfdR</t>
  </si>
  <si>
    <t>主控</t>
  </si>
  <si>
    <t>Redxa Zero 3W（市售</t>
  </si>
  <si>
    <t>2G足够，如果带emmc最好</t>
  </si>
  <si>
    <t>https://3.cn/3-5XrQVh?jkl=@B1xLIAeTdAII@</t>
  </si>
  <si>
    <t>电池</t>
  </si>
  <si>
    <t>沣标NP-F550</t>
  </si>
  <si>
    <t>滑轨触点接口，需要取电。电池仓或pcb触点。</t>
  </si>
  <si>
    <t>https://3.cn/35Xr-5tk?jkl=@TDXz26TCsLJn@</t>
  </si>
  <si>
    <t>电池仓</t>
  </si>
  <si>
    <t>腾壶NPF通用电池仓</t>
  </si>
  <si>
    <r>
      <rPr>
        <u/>
        <sz val="11"/>
        <color rgb="FF175CEB"/>
        <rFont val="宋体"/>
        <charset val="134"/>
      </rPr>
      <t>https://e.tb.cn/h.8AGghKy0OQMqQqn?tk=ErljTpNvMuj</t>
    </r>
  </si>
  <si>
    <t>IMU</t>
  </si>
  <si>
    <t>LSM6DSV16X，龙邱科技模块</t>
  </si>
  <si>
    <t>缺失IMU2dxl的pcb板子时用，运费8.00，未包含</t>
  </si>
  <si>
    <t>https://e.tb.cn/h.8AG5CodNz44ZFB7?tk=Pk8uTpNEdHO</t>
  </si>
  <si>
    <t>imu_to_dxl(/ttl)</t>
  </si>
  <si>
    <t>未知</t>
  </si>
  <si>
    <t>用于把imu接入舵机总线。此为必须组件如果没有必须折损效果用独立imu</t>
  </si>
  <si>
    <t>ToF</t>
  </si>
  <si>
    <t>VL53L5X</t>
  </si>
  <si>
    <t>VL53L8X理论上更优，但是尺寸略大，可能无法装上鸭头。</t>
  </si>
  <si>
    <r>
      <rPr>
        <u/>
        <sz val="11"/>
        <color rgb="FF175CEB"/>
        <rFont val="宋体"/>
        <charset val="134"/>
      </rPr>
      <t>https://e.tb.cn/h.8AGfnOy5ENtJn35?tk=Fgh3TpNFm7l</t>
    </r>
  </si>
  <si>
    <t>摄像头</t>
  </si>
  <si>
    <t>IMX219，radxa官方</t>
  </si>
  <si>
    <t>复刻仓库参考的摄像头，可以直接装</t>
  </si>
  <si>
    <r>
      <rPr>
        <u/>
        <sz val="11"/>
        <color rgb="FF175CEB"/>
        <rFont val="宋体"/>
        <charset val="134"/>
      </rPr>
      <t>https://3.cn/35XqP-79?jkl=@C8AQHEUjjEGV@</t>
    </r>
  </si>
  <si>
    <t>HAT</t>
  </si>
  <si>
    <t>官方开源打样</t>
  </si>
  <si>
    <t>原版仓库链接：https://github.com/pollen-robotics/elec_RPI_Robot_HAT</t>
  </si>
  <si>
    <t>舵机调试板</t>
  </si>
  <si>
    <t>FE-URT2-C001</t>
  </si>
  <si>
    <t>上机前先测试，改ID，贴好标签</t>
  </si>
  <si>
    <r>
      <rPr>
        <u/>
        <sz val="11"/>
        <color rgb="FF175CEB"/>
        <rFont val="宋体"/>
        <charset val="134"/>
      </rPr>
      <t>https://3.cn/35-Xr6D3?jkl=@J0zWxAsMWmUN@</t>
    </r>
  </si>
  <si>
    <t>轴承</t>
  </si>
  <si>
    <t>10*15*3</t>
  </si>
  <si>
    <t>运费6.00，未包含</t>
  </si>
  <si>
    <r>
      <rPr>
        <u/>
        <sz val="11"/>
        <color rgb="FF175CEB"/>
        <rFont val="宋体"/>
        <charset val="134"/>
      </rPr>
      <t>https://e.tb.cn/h.8yCPt36vGnRBYk6?tk=z612TpNGkTr</t>
    </r>
  </si>
  <si>
    <t>16*22*4</t>
  </si>
  <si>
    <t>运费8.00，未包含</t>
  </si>
  <si>
    <r>
      <rPr>
        <u/>
        <sz val="11"/>
        <color rgb="FF175CEB"/>
        <rFont val="宋体"/>
        <charset val="134"/>
      </rPr>
      <t>https://e.tb.cn/h.8AGgqUt7kD3apN1?tk=JUUeTpNviwQ</t>
    </r>
  </si>
  <si>
    <t>6*12*3</t>
  </si>
  <si>
    <t>仅轮滑使用</t>
  </si>
  <si>
    <r>
      <rPr>
        <u/>
        <sz val="11"/>
        <color rgb="FF175CEB"/>
        <rFont val="宋体"/>
        <charset val="134"/>
      </rPr>
      <t>https://e.tb.cn/h.8yCNQ9yuL7jWYaO?tk=IGzDTpNw2BQ</t>
    </r>
  </si>
  <si>
    <t>紧固件</t>
  </si>
  <si>
    <t>M2*5</t>
  </si>
  <si>
    <t>平头六角，长度要够</t>
  </si>
  <si>
    <r>
      <rPr>
        <u/>
        <sz val="11"/>
        <color rgb="FF175CEB"/>
        <rFont val="宋体"/>
        <charset val="134"/>
      </rPr>
      <t>https://e.tb.cn/h.8zfSUIxijEoPvk0?tk=Gb0ATpNv4NT</t>
    </r>
  </si>
  <si>
    <t>M2*6</t>
  </si>
  <si>
    <t>M2.5*8</t>
  </si>
  <si>
    <t>M2.5*6</t>
  </si>
  <si>
    <t>304标准M2螺母*50</t>
  </si>
  <si>
    <t>无攻丝处可以使用热熔螺母加强</t>
  </si>
  <si>
    <r>
      <rPr>
        <u/>
        <sz val="11"/>
        <color rgb="FF175CEB"/>
        <rFont val="宋体"/>
        <charset val="134"/>
      </rPr>
      <t>https://e.tb.cn/h.8zfS8rdicnjebox?tk=zr6NTpNvcA2</t>
    </r>
  </si>
  <si>
    <t>胶水</t>
  </si>
  <si>
    <t>243螺丝胶</t>
  </si>
  <si>
    <r>
      <rPr>
        <u/>
        <sz val="11"/>
        <color rgb="FF175CEB"/>
        <rFont val="宋体"/>
        <charset val="134"/>
      </rPr>
      <t>https://e.tb.cn/h.8yCmwnGHDEYWog0?tk=brl2TpNEYVr</t>
    </r>
  </si>
  <si>
    <t>TF卡</t>
  </si>
  <si>
    <t>闪迪128G,190M/s</t>
  </si>
  <si>
    <t>就比32G贵30，64G已经足够,这里由于价格相近选用的是128G</t>
  </si>
  <si>
    <r>
      <rPr>
        <u/>
        <sz val="11"/>
        <color rgb="FF175CEB"/>
        <rFont val="宋体"/>
        <charset val="134"/>
      </rPr>
      <t>https://3.cn/-35Xsd37?jkl=@RA3Vs3K4CqRj@</t>
    </r>
  </si>
  <si>
    <t>扬声器</t>
  </si>
  <si>
    <t>4Ω3W薄型扬声器，公头</t>
  </si>
  <si>
    <t>外壳</t>
  </si>
  <si>
    <t>PETG?+TPU</t>
  </si>
  <si>
    <t>社区已有复现CAD，根据实际情况改。结构件PLA/PETG可能还要测试。</t>
  </si>
  <si>
    <t>耗材</t>
  </si>
  <si>
    <t>拓竹PETG白色30106</t>
  </si>
  <si>
    <r>
      <rPr>
        <u/>
        <sz val="11"/>
        <color rgb="FF175CEB"/>
        <rFont val="微软雅黑"/>
        <charset val="134"/>
      </rPr>
      <t>https://e.tb.cn/h.8AGrJg41g3WZg3X?tk=1AUGTpn6bGN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</si>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</sst>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80008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175CEB"/>
      <name val="宋体"/>
      <charset val="134"/>
    </font>
    <font>
      <u/>
      <sz val="11"/>
      <color rgb="FF175CEB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>
      <alignment vertical="center"/>
    </xf>
    <xf numFmtId="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NumberFormat="1" applyFont="1" applyAlignment="1">
      <alignment vertical="center" wrapText="1"/>
    </xf>
    <xf numFmtId="0" fontId="2" fillId="0" borderId="0" xfId="6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Alignment="1">
      <alignment horizontal="right" vertical="center"/>
    </xf>
    <xf numFmtId="0" fontId="6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.tb.cn/h.8AGgqUt7kD3apN1?tk=JUUeTpNviwQ" TargetMode="External"/><Relationship Id="rId8" Type="http://schemas.openxmlformats.org/officeDocument/2006/relationships/hyperlink" Target="https://e.tb.cn/h.8yCPt36vGnRBYk6?tk=z612TpNGkTr" TargetMode="External"/><Relationship Id="rId7" Type="http://schemas.openxmlformats.org/officeDocument/2006/relationships/hyperlink" Target="https://3.cn/35-Xr6D3?jkl=@J0zWxAsMWmUN@" TargetMode="External"/><Relationship Id="rId6" Type="http://schemas.openxmlformats.org/officeDocument/2006/relationships/hyperlink" Target="https://3.cn/35XqP-79?jkl=@C8AQHEUjjEGV@" TargetMode="External"/><Relationship Id="rId5" Type="http://schemas.openxmlformats.org/officeDocument/2006/relationships/hyperlink" Target="https://e.tb.cn/h.8AGfnOy5ENtJn35?tk=Fgh3TpNFm7l" TargetMode="External"/><Relationship Id="rId4" Type="http://schemas.openxmlformats.org/officeDocument/2006/relationships/hyperlink" Target="https://e.tb.cn/h.8AG5CodNz44ZFB7?tk=Pk8uTpNEdHO" TargetMode="External"/><Relationship Id="rId3" Type="http://schemas.openxmlformats.org/officeDocument/2006/relationships/hyperlink" Target="https://e.tb.cn/h.8AGghKy0OQMqQqn?tk=ErljTpNvMuj" TargetMode="External"/><Relationship Id="rId2" Type="http://schemas.openxmlformats.org/officeDocument/2006/relationships/hyperlink" Target="https://3.cn/35Xr-5tk?jkl=@TDXz26TCsLJn@" TargetMode="External"/><Relationship Id="rId16" Type="http://schemas.openxmlformats.org/officeDocument/2006/relationships/hyperlink" Target="https://e.tb.cn/h.8yy7pUdeOPyixCr?tk=KnCZTpnqfdR" TargetMode="External"/><Relationship Id="rId15" Type="http://schemas.openxmlformats.org/officeDocument/2006/relationships/hyperlink" Target="https://e.tb.cn/h.8AGrJg41g3WZg3X?tk=1AUGTpn6bGN" TargetMode="External"/><Relationship Id="rId14" Type="http://schemas.openxmlformats.org/officeDocument/2006/relationships/hyperlink" Target="https://3.cn/-35Xsd37?jkl=@RA3Vs3K4CqRj@" TargetMode="External"/><Relationship Id="rId13" Type="http://schemas.openxmlformats.org/officeDocument/2006/relationships/hyperlink" Target="https://e.tb.cn/h.8yCmwnGHDEYWog0?tk=brl2TpNEYVr" TargetMode="External"/><Relationship Id="rId12" Type="http://schemas.openxmlformats.org/officeDocument/2006/relationships/hyperlink" Target="https://e.tb.cn/h.8zfS8rdicnjebox?tk=zr6NTpNvcA2" TargetMode="External"/><Relationship Id="rId11" Type="http://schemas.openxmlformats.org/officeDocument/2006/relationships/hyperlink" Target="https://e.tb.cn/h.8zfSUIxijEoPvk0?tk=Gb0ATpNv4NT" TargetMode="External"/><Relationship Id="rId10" Type="http://schemas.openxmlformats.org/officeDocument/2006/relationships/hyperlink" Target="https://e.tb.cn/h.8yCNQ9yuL7jWYaO?tk=IGzDTpNw2BQ" TargetMode="External"/><Relationship Id="rId1" Type="http://schemas.openxmlformats.org/officeDocument/2006/relationships/hyperlink" Target="https://3.cn/3-5XrQVh?jkl=@B1xLIAeTdAII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abSelected="1" topLeftCell="E1" workbookViewId="0">
      <selection activeCell="W19" sqref="W19"/>
    </sheetView>
  </sheetViews>
  <sheetFormatPr defaultColWidth="9" defaultRowHeight="13.5"/>
  <cols>
    <col min="1" max="1" width="12.0265486725664" customWidth="1"/>
    <col min="3" max="3" width="15.6017699115044" customWidth="1"/>
    <col min="14" max="14" width="15.8672566371681" customWidth="1"/>
  </cols>
  <sheetData>
    <row r="1" spans="1:21">
      <c r="A1" t="s">
        <v>0</v>
      </c>
      <c r="B1" s="1" t="s">
        <v>1</v>
      </c>
      <c r="C1" s="1"/>
      <c r="D1" t="s">
        <v>2</v>
      </c>
      <c r="E1" t="s">
        <v>3</v>
      </c>
      <c r="F1" t="s">
        <v>4</v>
      </c>
      <c r="H1" t="s">
        <v>5</v>
      </c>
      <c r="O1" t="s">
        <v>6</v>
      </c>
      <c r="P1" t="s">
        <v>7</v>
      </c>
    </row>
    <row r="2" spans="1:21">
      <c r="A2" t="s">
        <v>8</v>
      </c>
      <c r="B2" s="2" t="s">
        <v>9</v>
      </c>
      <c r="D2" s="2">
        <v>16</v>
      </c>
      <c r="E2" s="3">
        <v>122.69</v>
      </c>
      <c r="F2" s="3">
        <f t="shared" ref="F2:F24" si="0">D2*E2</f>
        <v>1963.04</v>
      </c>
      <c r="G2" s="4"/>
      <c r="H2" s="5" t="s">
        <v>10</v>
      </c>
      <c r="O2" t="s">
        <v>11</v>
      </c>
      <c r="P2" s="6" t="s">
        <v>12</v>
      </c>
    </row>
    <row r="3" spans="1:21">
      <c r="A3" t="s">
        <v>13</v>
      </c>
      <c r="B3" s="2" t="s">
        <v>14</v>
      </c>
      <c r="D3" s="7">
        <v>1</v>
      </c>
      <c r="E3" s="3">
        <v>309</v>
      </c>
      <c r="F3" s="3">
        <f t="shared" si="0"/>
        <v>309</v>
      </c>
      <c r="G3" s="4"/>
      <c r="H3" s="8" t="s">
        <v>15</v>
      </c>
      <c r="O3" t="s">
        <v>11</v>
      </c>
      <c r="P3" s="9" t="s">
        <v>16</v>
      </c>
    </row>
    <row r="4" spans="1:21">
      <c r="A4" t="s">
        <v>17</v>
      </c>
      <c r="B4" s="2" t="s">
        <v>18</v>
      </c>
      <c r="C4" s="10"/>
      <c r="D4" s="2">
        <v>2</v>
      </c>
      <c r="E4" s="3">
        <v>32.91</v>
      </c>
      <c r="F4" s="3">
        <f t="shared" si="0"/>
        <v>65.82</v>
      </c>
      <c r="G4" s="4"/>
      <c r="H4" s="8" t="s">
        <v>19</v>
      </c>
      <c r="O4" t="s">
        <v>11</v>
      </c>
      <c r="P4" s="9" t="s">
        <v>20</v>
      </c>
    </row>
    <row r="5" spans="1:21">
      <c r="A5" t="s">
        <v>21</v>
      </c>
      <c r="B5" s="2" t="s">
        <v>22</v>
      </c>
      <c r="D5" s="7">
        <v>1</v>
      </c>
      <c r="E5" s="3">
        <v>17.8</v>
      </c>
      <c r="F5" s="3">
        <f t="shared" si="0"/>
        <v>17.8</v>
      </c>
      <c r="G5" s="4"/>
      <c r="H5" s="8"/>
      <c r="O5" t="s">
        <v>11</v>
      </c>
      <c r="P5" t="s">
        <v>23</v>
      </c>
    </row>
    <row r="6" spans="1:21">
      <c r="A6" t="s">
        <v>24</v>
      </c>
      <c r="B6" s="2" t="s">
        <v>25</v>
      </c>
      <c r="D6" s="7">
        <v>1</v>
      </c>
      <c r="E6" s="3">
        <v>43</v>
      </c>
      <c r="F6" s="3">
        <f t="shared" si="0"/>
        <v>43</v>
      </c>
      <c r="G6" s="4"/>
      <c r="H6" s="5" t="s">
        <v>26</v>
      </c>
      <c r="O6" t="s">
        <v>11</v>
      </c>
      <c r="P6" s="9" t="s">
        <v>27</v>
      </c>
      <c r="Q6" s="11"/>
      <c r="R6" s="11"/>
      <c r="S6" s="11"/>
      <c r="T6" s="11"/>
      <c r="U6" s="11"/>
    </row>
    <row r="7" spans="1:21">
      <c r="A7" t="s">
        <v>28</v>
      </c>
      <c r="B7" s="2" t="s">
        <v>29</v>
      </c>
      <c r="C7" s="12"/>
      <c r="D7" s="7">
        <v>1</v>
      </c>
      <c r="E7" s="3"/>
      <c r="F7" s="3">
        <f t="shared" si="0"/>
        <v>0</v>
      </c>
      <c r="G7" s="4"/>
      <c r="H7" s="8" t="s">
        <v>30</v>
      </c>
    </row>
    <row r="8" spans="1:21">
      <c r="A8" t="s">
        <v>31</v>
      </c>
      <c r="B8" s="2" t="s">
        <v>32</v>
      </c>
      <c r="D8" s="7">
        <v>1</v>
      </c>
      <c r="E8" s="3">
        <v>49.5</v>
      </c>
      <c r="F8" s="3">
        <f t="shared" si="0"/>
        <v>49.5</v>
      </c>
      <c r="G8" s="4"/>
      <c r="H8" s="8" t="s">
        <v>33</v>
      </c>
      <c r="O8" t="s">
        <v>11</v>
      </c>
      <c r="P8" t="s">
        <v>34</v>
      </c>
    </row>
    <row r="9" spans="1:21">
      <c r="A9" t="s">
        <v>35</v>
      </c>
      <c r="B9" s="2" t="s">
        <v>36</v>
      </c>
      <c r="D9" s="7">
        <v>1</v>
      </c>
      <c r="E9" s="3">
        <v>129.99</v>
      </c>
      <c r="F9" s="3">
        <f t="shared" si="0"/>
        <v>129.99</v>
      </c>
      <c r="G9" s="4"/>
      <c r="H9" s="8" t="s">
        <v>37</v>
      </c>
      <c r="O9" t="s">
        <v>11</v>
      </c>
      <c r="P9" t="s">
        <v>38</v>
      </c>
    </row>
    <row r="10" spans="1:21">
      <c r="A10" t="s">
        <v>39</v>
      </c>
      <c r="B10" s="2" t="s">
        <v>40</v>
      </c>
      <c r="D10" s="7">
        <v>2</v>
      </c>
      <c r="E10" s="3">
        <v>120</v>
      </c>
      <c r="F10" s="3">
        <f t="shared" si="0"/>
        <v>240</v>
      </c>
      <c r="G10" s="4"/>
      <c r="H10" s="8" t="s">
        <v>41</v>
      </c>
      <c r="I10" s="12"/>
      <c r="J10" s="12"/>
      <c r="K10" s="12"/>
      <c r="L10" s="12"/>
      <c r="M10" s="12"/>
      <c r="N10" s="12"/>
      <c r="O10" t="s">
        <v>11</v>
      </c>
    </row>
    <row r="11" spans="1:21">
      <c r="A11" t="s">
        <v>42</v>
      </c>
      <c r="B11" s="2" t="s">
        <v>43</v>
      </c>
      <c r="D11" s="7">
        <v>1</v>
      </c>
      <c r="E11" s="3">
        <v>50.49</v>
      </c>
      <c r="F11" s="3">
        <f t="shared" si="0"/>
        <v>50.49</v>
      </c>
      <c r="G11" s="4"/>
      <c r="H11" s="8" t="s">
        <v>44</v>
      </c>
      <c r="I11" s="11"/>
      <c r="J11" s="11"/>
      <c r="K11" s="11"/>
      <c r="L11" s="11"/>
      <c r="M11" s="11"/>
      <c r="N11" s="11"/>
      <c r="O11" t="s">
        <v>11</v>
      </c>
      <c r="P11" t="s">
        <v>45</v>
      </c>
    </row>
    <row r="12" spans="1:21">
      <c r="A12" t="s">
        <v>46</v>
      </c>
      <c r="B12" s="2" t="s">
        <v>47</v>
      </c>
      <c r="D12" s="7">
        <v>3</v>
      </c>
      <c r="E12" s="3">
        <v>6</v>
      </c>
      <c r="F12" s="3">
        <f t="shared" si="0"/>
        <v>18</v>
      </c>
      <c r="G12" s="4"/>
      <c r="H12" s="8" t="s">
        <v>48</v>
      </c>
      <c r="I12" s="11"/>
      <c r="J12" s="11"/>
      <c r="K12" s="11"/>
      <c r="L12" s="11"/>
      <c r="M12" s="11"/>
      <c r="N12" s="11"/>
      <c r="O12" t="s">
        <v>11</v>
      </c>
      <c r="P12" t="s">
        <v>49</v>
      </c>
    </row>
    <row r="13" spans="1:21">
      <c r="B13" s="2" t="s">
        <v>50</v>
      </c>
      <c r="D13" s="7">
        <v>11</v>
      </c>
      <c r="E13" s="3">
        <v>3.5</v>
      </c>
      <c r="F13" s="3">
        <f t="shared" si="0"/>
        <v>38.5</v>
      </c>
      <c r="G13" s="4"/>
      <c r="H13" s="8" t="s">
        <v>51</v>
      </c>
      <c r="I13" s="11"/>
      <c r="J13" s="11"/>
      <c r="K13" s="11"/>
      <c r="L13" s="11"/>
      <c r="M13" s="11"/>
      <c r="N13" s="11"/>
      <c r="O13" t="s">
        <v>11</v>
      </c>
      <c r="P13" t="s">
        <v>52</v>
      </c>
    </row>
    <row r="14" spans="1:21">
      <c r="B14" s="2" t="s">
        <v>53</v>
      </c>
      <c r="D14" s="7">
        <v>4</v>
      </c>
      <c r="E14" s="3">
        <v>0.87</v>
      </c>
      <c r="F14" s="3">
        <f t="shared" si="0"/>
        <v>3.48</v>
      </c>
      <c r="G14" s="4"/>
      <c r="H14" s="8" t="s">
        <v>54</v>
      </c>
      <c r="I14" s="11"/>
      <c r="J14" s="11"/>
      <c r="K14" s="11"/>
      <c r="L14" s="11"/>
      <c r="M14" s="11"/>
      <c r="N14" s="11"/>
      <c r="O14" t="s">
        <v>11</v>
      </c>
      <c r="P14" t="s">
        <v>55</v>
      </c>
    </row>
    <row r="15" spans="1:21">
      <c r="A15" t="s">
        <v>56</v>
      </c>
      <c r="B15" s="2" t="s">
        <v>57</v>
      </c>
      <c r="D15" s="7">
        <v>1</v>
      </c>
      <c r="E15" s="3">
        <v>3.3</v>
      </c>
      <c r="F15" s="3">
        <f t="shared" si="0"/>
        <v>3.3</v>
      </c>
      <c r="G15" s="4"/>
      <c r="H15" s="8" t="s">
        <v>58</v>
      </c>
      <c r="I15" s="11"/>
      <c r="J15" s="11"/>
      <c r="K15" s="11"/>
      <c r="L15" s="11"/>
      <c r="M15" s="11"/>
      <c r="N15" s="11"/>
      <c r="O15" t="s">
        <v>11</v>
      </c>
      <c r="P15" t="s">
        <v>59</v>
      </c>
    </row>
    <row r="16" spans="1:21">
      <c r="B16" s="2" t="s">
        <v>60</v>
      </c>
      <c r="D16" s="7">
        <v>1</v>
      </c>
      <c r="E16" s="3">
        <v>3.75</v>
      </c>
      <c r="F16" s="3">
        <f t="shared" si="0"/>
        <v>3.75</v>
      </c>
      <c r="G16" s="4"/>
      <c r="H16" s="8"/>
      <c r="I16" s="11"/>
      <c r="J16" s="11"/>
      <c r="K16" s="11"/>
      <c r="L16" s="11"/>
      <c r="M16" s="11"/>
      <c r="N16" s="11"/>
      <c r="O16" t="s">
        <v>11</v>
      </c>
      <c r="P16" s="11" t="s">
        <v>59</v>
      </c>
      <c r="Q16" s="11"/>
      <c r="R16" s="11"/>
      <c r="S16" s="11"/>
      <c r="T16" s="11"/>
      <c r="U16" s="11"/>
    </row>
    <row r="17" spans="1:21">
      <c r="B17" s="2" t="s">
        <v>61</v>
      </c>
      <c r="D17" s="7">
        <v>1</v>
      </c>
      <c r="E17" s="3">
        <v>2.51</v>
      </c>
      <c r="F17" s="3">
        <f t="shared" si="0"/>
        <v>2.51</v>
      </c>
      <c r="G17" s="4"/>
      <c r="H17" s="8"/>
      <c r="I17" s="11"/>
      <c r="J17" s="11"/>
      <c r="K17" s="11"/>
      <c r="L17" s="11"/>
      <c r="M17" s="11"/>
      <c r="N17" s="11"/>
      <c r="O17" t="s">
        <v>11</v>
      </c>
      <c r="P17" t="s">
        <v>59</v>
      </c>
    </row>
    <row r="18" spans="1:21">
      <c r="B18" s="2" t="s">
        <v>62</v>
      </c>
      <c r="D18" s="7">
        <v>1</v>
      </c>
      <c r="E18" s="3">
        <v>3.29</v>
      </c>
      <c r="F18" s="3">
        <f t="shared" si="0"/>
        <v>3.29</v>
      </c>
      <c r="G18" s="4"/>
      <c r="H18" s="8"/>
      <c r="O18" t="s">
        <v>11</v>
      </c>
      <c r="P18" t="s">
        <v>59</v>
      </c>
    </row>
    <row r="19" spans="1:21">
      <c r="B19" s="2" t="s">
        <v>63</v>
      </c>
      <c r="D19" s="7">
        <v>1</v>
      </c>
      <c r="E19" s="3">
        <v>1.64</v>
      </c>
      <c r="F19" s="3">
        <f t="shared" si="0"/>
        <v>1.64</v>
      </c>
      <c r="G19" s="4"/>
      <c r="H19" s="8" t="s">
        <v>64</v>
      </c>
      <c r="O19" t="s">
        <v>11</v>
      </c>
      <c r="P19" s="11" t="s">
        <v>65</v>
      </c>
      <c r="Q19" s="11"/>
      <c r="R19" s="11"/>
      <c r="S19" s="11"/>
      <c r="T19" s="11"/>
      <c r="U19" s="11"/>
    </row>
    <row r="20" spans="1:21">
      <c r="A20" t="s">
        <v>66</v>
      </c>
      <c r="B20" s="2" t="s">
        <v>67</v>
      </c>
      <c r="D20" s="7">
        <v>1</v>
      </c>
      <c r="E20" s="3">
        <v>2.43</v>
      </c>
      <c r="F20" s="3">
        <f t="shared" si="0"/>
        <v>2.43</v>
      </c>
      <c r="G20" s="13"/>
      <c r="H20" s="8"/>
      <c r="I20" s="11"/>
      <c r="J20" s="11"/>
      <c r="K20" s="11"/>
      <c r="L20" s="11"/>
      <c r="M20" s="11"/>
      <c r="N20" s="11"/>
      <c r="O20" t="s">
        <v>11</v>
      </c>
      <c r="P20" t="s">
        <v>68</v>
      </c>
    </row>
    <row r="21" spans="1:21">
      <c r="A21" t="s">
        <v>69</v>
      </c>
      <c r="B21" s="2" t="s">
        <v>70</v>
      </c>
      <c r="D21" s="7">
        <v>1</v>
      </c>
      <c r="E21" s="3">
        <v>199</v>
      </c>
      <c r="F21" s="3">
        <f t="shared" si="0"/>
        <v>199</v>
      </c>
      <c r="G21" s="13"/>
      <c r="H21" s="8" t="s">
        <v>71</v>
      </c>
      <c r="O21" t="s">
        <v>11</v>
      </c>
      <c r="P21" t="s">
        <v>72</v>
      </c>
    </row>
    <row r="22" spans="1:21">
      <c r="A22" t="s">
        <v>73</v>
      </c>
      <c r="B22" s="2" t="s">
        <v>74</v>
      </c>
      <c r="D22">
        <v>1</v>
      </c>
      <c r="F22" s="3">
        <f t="shared" si="0"/>
        <v>0</v>
      </c>
      <c r="G22" s="13"/>
      <c r="H22" s="8"/>
    </row>
    <row r="23" spans="1:21">
      <c r="A23" t="s">
        <v>75</v>
      </c>
      <c r="B23" s="2" t="s">
        <v>76</v>
      </c>
      <c r="E23" s="4"/>
      <c r="F23" s="3">
        <f t="shared" si="0"/>
        <v>0</v>
      </c>
      <c r="G23" s="13"/>
      <c r="H23" s="8" t="s">
        <v>77</v>
      </c>
    </row>
    <row r="24" ht="15" spans="1:21">
      <c r="A24" s="2" t="s">
        <v>78</v>
      </c>
      <c r="B24" s="2" t="s">
        <v>79</v>
      </c>
      <c r="D24">
        <v>1</v>
      </c>
      <c r="E24" s="3">
        <v>42.79</v>
      </c>
      <c r="F24" s="3">
        <f t="shared" si="0"/>
        <v>42.79</v>
      </c>
      <c r="G24" s="13"/>
      <c r="H24" s="8"/>
      <c r="O24" t="s">
        <v>11</v>
      </c>
      <c r="P24" t="s">
        <v>80</v>
      </c>
    </row>
    <row r="25" spans="1:21">
      <c r="A25" t="s">
        <v>81</v>
      </c>
      <c r="B25" s="2"/>
      <c r="E25" s="4"/>
      <c r="F25" s="14">
        <f>SUM(F2:G24)</f>
        <v>3187.33</v>
      </c>
      <c r="G25" s="13"/>
    </row>
  </sheetData>
  <mergeCells count="99">
    <mergeCell ref="B1:C1"/>
    <mergeCell ref="F1:G1"/>
    <mergeCell ref="H1:N1"/>
    <mergeCell ref="P1:U1"/>
    <mergeCell ref="B2:C2"/>
    <mergeCell ref="F2:G2"/>
    <mergeCell ref="H2:N2"/>
    <mergeCell ref="P2:U2"/>
    <mergeCell ref="B3:C3"/>
    <mergeCell ref="F3:G3"/>
    <mergeCell ref="H3:N3"/>
    <mergeCell ref="P3:U3"/>
    <mergeCell ref="B4:C4"/>
    <mergeCell ref="F4:G4"/>
    <mergeCell ref="H4:N4"/>
    <mergeCell ref="P4:U4"/>
    <mergeCell ref="B5:C5"/>
    <mergeCell ref="F5:G5"/>
    <mergeCell ref="H5:N5"/>
    <mergeCell ref="P5:U5"/>
    <mergeCell ref="B6:C6"/>
    <mergeCell ref="F6:G6"/>
    <mergeCell ref="H6:N6"/>
    <mergeCell ref="P6:U6"/>
    <mergeCell ref="B7:C7"/>
    <mergeCell ref="F7:G7"/>
    <mergeCell ref="H7:N7"/>
    <mergeCell ref="P7:U7"/>
    <mergeCell ref="B8:C8"/>
    <mergeCell ref="F8:G8"/>
    <mergeCell ref="H8:N8"/>
    <mergeCell ref="P8:U8"/>
    <mergeCell ref="B9:C9"/>
    <mergeCell ref="F9:G9"/>
    <mergeCell ref="H9:N9"/>
    <mergeCell ref="P9:U9"/>
    <mergeCell ref="B10:C10"/>
    <mergeCell ref="F10:G10"/>
    <mergeCell ref="H10:N10"/>
    <mergeCell ref="P10:U10"/>
    <mergeCell ref="B11:C11"/>
    <mergeCell ref="F11:G11"/>
    <mergeCell ref="H11:N11"/>
    <mergeCell ref="P11:U11"/>
    <mergeCell ref="B12:C12"/>
    <mergeCell ref="F12:G12"/>
    <mergeCell ref="H12:N12"/>
    <mergeCell ref="P12:U12"/>
    <mergeCell ref="B13:C13"/>
    <mergeCell ref="F13:G13"/>
    <mergeCell ref="H13:N13"/>
    <mergeCell ref="P13:U13"/>
    <mergeCell ref="B14:C14"/>
    <mergeCell ref="F14:G14"/>
    <mergeCell ref="H14:N14"/>
    <mergeCell ref="P14:U14"/>
    <mergeCell ref="B15:C15"/>
    <mergeCell ref="F15:G15"/>
    <mergeCell ref="H15:N15"/>
    <mergeCell ref="P15:U15"/>
    <mergeCell ref="B16:C16"/>
    <mergeCell ref="F16:G16"/>
    <mergeCell ref="H16:N16"/>
    <mergeCell ref="P16:U16"/>
    <mergeCell ref="B17:C17"/>
    <mergeCell ref="F17:G17"/>
    <mergeCell ref="H17:N17"/>
    <mergeCell ref="P17:U17"/>
    <mergeCell ref="B18:C18"/>
    <mergeCell ref="F18:G18"/>
    <mergeCell ref="H18:N18"/>
    <mergeCell ref="P18:U18"/>
    <mergeCell ref="B19:C19"/>
    <mergeCell ref="F19:G19"/>
    <mergeCell ref="H19:N19"/>
    <mergeCell ref="P19:U19"/>
    <mergeCell ref="B20:C20"/>
    <mergeCell ref="F20:G20"/>
    <mergeCell ref="H20:N20"/>
    <mergeCell ref="P20:U20"/>
    <mergeCell ref="B21:C21"/>
    <mergeCell ref="F21:G21"/>
    <mergeCell ref="H21:N21"/>
    <mergeCell ref="P21:U21"/>
    <mergeCell ref="B22:C22"/>
    <mergeCell ref="F22:G22"/>
    <mergeCell ref="H22:N22"/>
    <mergeCell ref="P22:U22"/>
    <mergeCell ref="B23:C23"/>
    <mergeCell ref="F23:G23"/>
    <mergeCell ref="H23:N23"/>
    <mergeCell ref="P23:U23"/>
    <mergeCell ref="B24:C24"/>
    <mergeCell ref="F24:G24"/>
    <mergeCell ref="H24:N24"/>
    <mergeCell ref="P24:U24"/>
    <mergeCell ref="B25:C25"/>
    <mergeCell ref="F25:G25"/>
    <mergeCell ref="H25:N25"/>
  </mergeCells>
  <hyperlinks>
    <hyperlink ref="P3" r:id="rId1" display="https://3.cn/3-5XrQVh?jkl=@B1xLIAeTdAII@"/>
    <hyperlink ref="P4" r:id="rId2" display="https://3.cn/35Xr-5tk?jkl=@TDXz26TCsLJn@"/>
    <hyperlink ref="P5" r:id="rId3" display="https://e.tb.cn/h.8AGghKy0OQMqQqn?tk=ErljTpNvMuj"/>
    <hyperlink ref="P6" r:id="rId4" display="https://e.tb.cn/h.8AG5CodNz44ZFB7?tk=Pk8uTpNEdHO"/>
    <hyperlink ref="P8" r:id="rId5" display="https://e.tb.cn/h.8AGfnOy5ENtJn35?tk=Fgh3TpNFm7l"/>
    <hyperlink ref="P9" r:id="rId6" display="https://3.cn/35XqP-79?jkl=@C8AQHEUjjEGV@"/>
    <hyperlink ref="P11" r:id="rId7" display="https://3.cn/35-Xr6D3?jkl=@J0zWxAsMWmUN@"/>
    <hyperlink ref="P12" r:id="rId8" display="https://e.tb.cn/h.8yCPt36vGnRBYk6?tk=z612TpNGkTr"/>
    <hyperlink ref="P13" r:id="rId9" display="https://e.tb.cn/h.8AGgqUt7kD3apN1?tk=JUUeTpNviwQ"/>
    <hyperlink ref="P14" r:id="rId10" display="https://e.tb.cn/h.8yCNQ9yuL7jWYaO?tk=IGzDTpNw2BQ"/>
    <hyperlink ref="P15" r:id="rId11" display="https://e.tb.cn/h.8zfSUIxijEoPvk0?tk=Gb0ATpNv4NT"/>
    <hyperlink ref="P16" r:id="rId11" display="https://e.tb.cn/h.8zfSUIxijEoPvk0?tk=Gb0ATpNv4NT"/>
    <hyperlink ref="P17" r:id="rId11" display="https://e.tb.cn/h.8zfSUIxijEoPvk0?tk=Gb0ATpNv4NT"/>
    <hyperlink ref="P18" r:id="rId11" display="https://e.tb.cn/h.8zfSUIxijEoPvk0?tk=Gb0ATpNv4NT"/>
    <hyperlink ref="P19" r:id="rId12" display="https://e.tb.cn/h.8zfS8rdicnjebox?tk=zr6NTpNvcA2"/>
    <hyperlink ref="P20" r:id="rId13" display="https://e.tb.cn/h.8yCmwnGHDEYWog0?tk=brl2TpNEYVr"/>
    <hyperlink ref="P21" r:id="rId14" display="https://3.cn/-35Xsd37?jkl=@RA3Vs3K4CqRj@"/>
    <hyperlink ref="P24" r:id="rId15" display="https://e.tb.cn/h.8AGrJg41g3WZg3X?tk=1AUGTpn6bGN"/>
    <hyperlink ref="P2" r:id="rId16" display="https://e.tb.cn/h.8yy7pUdeOPyixCr?tk=KnCZTpnqfdR" tooltip="https://e.tb.cn/h.8yy7pUdeOPyixCr?tk=KnCZTpnqfdR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曹智乾</cp:lastModifiedBy>
  <dcterms:created xsi:type="dcterms:W3CDTF">2026-10-05T20:16:00Z</dcterms:created>
  <dcterms:modified xsi:type="dcterms:W3CDTF">2026-10-05T12:28:53Z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C04A3ED2FBCB4227B7FF6390C13010E0_12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